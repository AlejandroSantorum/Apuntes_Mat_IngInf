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6" codeName="{00000000-0000-0000-0000-000000000000}"/>
  <workbookPr codeName="ThisWorkbook" defaultThemeVersion="124226"/>
  <xr:revisionPtr revIDLastSave="0" documentId="11_98F5DFDDFDB8424045A9CC905F24AC2536D10E9E" xr6:coauthVersionLast="46" xr6:coauthVersionMax="46" xr10:uidLastSave="{00000000-0000-0000-0000-000000000000}"/>
  <bookViews>
    <workbookView xWindow="480" yWindow="30" windowWidth="18195" windowHeight="11310" xr2:uid="{00000000-000D-0000-FFFF-FFFF00000000}"/>
  </bookViews>
  <sheets>
    <sheet name="EUR3M" sheetId="2" r:id="rId1"/>
  </sheets>
  <definedNames>
    <definedName name="deltat">EUR3M!$G$3</definedName>
  </definedNames>
  <calcPr calcId="191028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9" i="2" l="1"/>
  <c r="G14" i="2"/>
  <c r="G29" i="2"/>
  <c r="G37" i="2"/>
  <c r="G40" i="2"/>
  <c r="G28" i="2"/>
  <c r="G26" i="2"/>
  <c r="G22" i="2"/>
  <c r="G30" i="2"/>
  <c r="G36" i="2"/>
  <c r="G20" i="2"/>
  <c r="G23" i="2"/>
  <c r="G44" i="2"/>
  <c r="G9" i="2"/>
  <c r="G45" i="2"/>
  <c r="G46" i="2"/>
  <c r="G16" i="2"/>
  <c r="G47" i="2"/>
  <c r="G10" i="2"/>
  <c r="G11" i="2"/>
  <c r="G21" i="2"/>
  <c r="G33" i="2"/>
  <c r="G38" i="2"/>
  <c r="G27" i="2"/>
  <c r="G34" i="2"/>
  <c r="G43" i="2"/>
  <c r="G42" i="2"/>
  <c r="G18" i="2"/>
  <c r="G8" i="2"/>
  <c r="I9" i="2" l="1"/>
  <c r="I11" i="2"/>
  <c r="I27" i="2"/>
  <c r="I29" i="2"/>
  <c r="I28" i="2"/>
  <c r="I43" i="2"/>
  <c r="I23" i="2"/>
  <c r="I47" i="2"/>
  <c r="I38" i="2"/>
  <c r="I21" i="2"/>
  <c r="I39" i="2"/>
  <c r="I46" i="2"/>
  <c r="I30" i="2"/>
  <c r="I44" i="2"/>
  <c r="I34" i="2"/>
  <c r="I10" i="2"/>
  <c r="I22" i="2"/>
  <c r="I45" i="2"/>
  <c r="I40" i="2"/>
  <c r="I37" i="2"/>
  <c r="G32" i="2"/>
  <c r="G12" i="2"/>
  <c r="G13" i="2"/>
  <c r="G19" i="2"/>
  <c r="G31" i="2"/>
  <c r="G48" i="2"/>
  <c r="G25" i="2"/>
  <c r="G35" i="2"/>
  <c r="G41" i="2"/>
  <c r="G15" i="2"/>
  <c r="G17" i="2"/>
  <c r="G24" i="2"/>
  <c r="M15" i="2" l="1"/>
  <c r="I25" i="2"/>
  <c r="I24" i="2"/>
  <c r="I18" i="2"/>
  <c r="I17" i="2"/>
  <c r="I15" i="2"/>
  <c r="I16" i="2"/>
  <c r="I42" i="2"/>
  <c r="I41" i="2"/>
  <c r="I35" i="2"/>
  <c r="I36" i="2"/>
  <c r="I26" i="2"/>
  <c r="I48" i="2"/>
  <c r="I31" i="2"/>
  <c r="I32" i="2"/>
  <c r="I20" i="2"/>
  <c r="I19" i="2"/>
  <c r="I14" i="2"/>
  <c r="L14" i="2"/>
  <c r="I13" i="2"/>
  <c r="L15" i="2" s="1"/>
  <c r="L16" i="2" s="1"/>
  <c r="I12" i="2"/>
  <c r="I33" i="2"/>
</calcChain>
</file>

<file path=xl/sharedStrings.xml><?xml version="1.0" encoding="utf-8"?>
<sst xmlns="http://schemas.openxmlformats.org/spreadsheetml/2006/main" count="14" uniqueCount="13">
  <si>
    <t>delta t</t>
  </si>
  <si>
    <t>Curva cupón cero</t>
  </si>
  <si>
    <t>PLAZO</t>
  </si>
  <si>
    <t>FD</t>
  </si>
  <si>
    <t>PLAZOS</t>
  </si>
  <si>
    <t>tipos forward</t>
  </si>
  <si>
    <t>Objetivo: calcular tipo swap trimestral de 1 a 10 años</t>
  </si>
  <si>
    <t>t0</t>
  </si>
  <si>
    <t>t1</t>
  </si>
  <si>
    <t>tn</t>
  </si>
  <si>
    <t>anualidad (denominador)</t>
  </si>
  <si>
    <t>numerador</t>
  </si>
  <si>
    <t>tipo swap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</si>
</sst>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%"/>
    <numFmt numFmtId="165" formatCode="0.00000"/>
    <numFmt numFmtId="166" formatCode="0.0000%"/>
  </numFmts>
  <fonts count="4">
    <font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164" fontId="1" fillId="0" borderId="3" xfId="1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64" fontId="1" fillId="0" borderId="4" xfId="1" applyNumberFormat="1" applyFont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164" fontId="1" fillId="0" borderId="6" xfId="1" applyNumberFormat="1" applyFont="1" applyBorder="1" applyAlignment="1">
      <alignment horizontal="center"/>
    </xf>
    <xf numFmtId="10" fontId="0" fillId="0" borderId="0" xfId="1" applyNumberFormat="1" applyFont="1"/>
    <xf numFmtId="166" fontId="0" fillId="0" borderId="0" xfId="1" applyNumberFormat="1" applyFont="1"/>
    <xf numFmtId="166" fontId="0" fillId="2" borderId="0" xfId="0" applyNumberFormat="1" applyFill="1"/>
    <xf numFmtId="164" fontId="0" fillId="0" borderId="0" xfId="0" applyNumberFormat="1"/>
    <xf numFmtId="0" fontId="3" fillId="0" borderId="0" xfId="0" applyFont="1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right"/>
    </xf>
    <xf numFmtId="164" fontId="0" fillId="0" borderId="1" xfId="1" applyNumberFormat="1" applyFont="1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9" xfId="1" applyNumberFormat="1" applyFont="1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  <xf numFmtId="166" fontId="0" fillId="0" borderId="0" xfId="0" applyNumberFormat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3:X52"/>
  <sheetViews>
    <sheetView tabSelected="1" workbookViewId="0">
      <selection activeCell="L15" sqref="L15"/>
    </sheetView>
  </sheetViews>
  <sheetFormatPr defaultColWidth="9.140625" defaultRowHeight="15"/>
  <cols>
    <col min="1" max="3" width="13" customWidth="1"/>
    <col min="6" max="6" width="10.7109375" bestFit="1" customWidth="1"/>
    <col min="7" max="7" width="12" customWidth="1"/>
    <col min="8" max="9" width="12" style="1" customWidth="1"/>
    <col min="10" max="10" width="13.42578125" style="1" bestFit="1" customWidth="1"/>
    <col min="11" max="11" width="15.7109375" style="1" bestFit="1" customWidth="1"/>
    <col min="16" max="16" width="13" customWidth="1"/>
  </cols>
  <sheetData>
    <row r="3" spans="2:13">
      <c r="F3" t="s">
        <v>0</v>
      </c>
      <c r="G3" s="1">
        <v>0.25</v>
      </c>
    </row>
    <row r="4" spans="2:13">
      <c r="G4" s="1"/>
    </row>
    <row r="5" spans="2:13">
      <c r="B5" s="13" t="s">
        <v>1</v>
      </c>
      <c r="G5" s="1"/>
    </row>
    <row r="6" spans="2:13" ht="15.75" thickBot="1"/>
    <row r="7" spans="2:13" ht="15.75" thickBot="1">
      <c r="B7" s="2" t="s">
        <v>2</v>
      </c>
      <c r="C7" s="2" t="s">
        <v>3</v>
      </c>
      <c r="F7" s="14" t="s">
        <v>4</v>
      </c>
      <c r="G7" s="15" t="s">
        <v>3</v>
      </c>
      <c r="I7" s="1" t="s">
        <v>5</v>
      </c>
      <c r="K7" t="s">
        <v>6</v>
      </c>
    </row>
    <row r="8" spans="2:13" ht="15.75" thickBot="1">
      <c r="B8" s="3">
        <v>0</v>
      </c>
      <c r="C8" s="4">
        <v>1</v>
      </c>
      <c r="F8" s="19">
        <v>0</v>
      </c>
      <c r="G8" s="20" t="e">
        <f ca="1">interpola(F8,$B$8:$C$52,1)</f>
        <v>#NAME?</v>
      </c>
    </row>
    <row r="9" spans="2:13">
      <c r="B9" s="5">
        <v>8.3333333333333297E-3</v>
      </c>
      <c r="C9" s="6">
        <v>1.00003604296572</v>
      </c>
      <c r="F9" s="16">
        <v>0.25</v>
      </c>
      <c r="G9" s="18" t="e">
        <f ca="1">interpola(F9,$B$8:$C$52,1)</f>
        <v>#NAME?</v>
      </c>
      <c r="I9" s="21" t="e">
        <f ca="1">(G8/G9-1)/deltat</f>
        <v>#NAME?</v>
      </c>
      <c r="K9" s="16" t="s">
        <v>7</v>
      </c>
      <c r="L9" s="16">
        <v>1</v>
      </c>
    </row>
    <row r="10" spans="2:13">
      <c r="B10" s="5">
        <v>1.1111111111111101E-2</v>
      </c>
      <c r="C10" s="6">
        <v>1.0000479879833499</v>
      </c>
      <c r="F10" s="16">
        <v>0.5</v>
      </c>
      <c r="G10" s="18" t="e">
        <f ca="1">interpola(F10,$B$8:$C$52,1)</f>
        <v>#NAME?</v>
      </c>
      <c r="I10" s="22" t="e">
        <f ca="1">(G9/G10-1)/deltat</f>
        <v>#NAME?</v>
      </c>
      <c r="K10" s="16" t="s">
        <v>8</v>
      </c>
      <c r="L10" s="16">
        <v>1.25</v>
      </c>
    </row>
    <row r="11" spans="2:13">
      <c r="B11" s="5">
        <v>1.3888888888888902E-2</v>
      </c>
      <c r="C11" s="6">
        <v>1.0000599331436599</v>
      </c>
      <c r="F11" s="16">
        <v>0.75</v>
      </c>
      <c r="G11" s="18" t="e">
        <f ca="1">interpola(F11,$B$8:$C$52,1)</f>
        <v>#NAME?</v>
      </c>
      <c r="I11" s="22" t="e">
        <f ca="1">(G10/G11-1)/deltat</f>
        <v>#NAME?</v>
      </c>
      <c r="K11" s="16" t="s">
        <v>9</v>
      </c>
      <c r="L11" s="16">
        <v>10</v>
      </c>
    </row>
    <row r="12" spans="2:13">
      <c r="B12" s="5">
        <v>3.05555555555556E-2</v>
      </c>
      <c r="C12" s="6">
        <v>1.0000930658574798</v>
      </c>
      <c r="F12" s="16">
        <v>1</v>
      </c>
      <c r="G12" s="18" t="e">
        <f ca="1">interpola(F12,$B$8:$C$52,1)</f>
        <v>#NAME?</v>
      </c>
      <c r="I12" s="22" t="e">
        <f ca="1">(G11/G12-1)/deltat</f>
        <v>#NAME?</v>
      </c>
    </row>
    <row r="13" spans="2:13">
      <c r="B13" s="5">
        <v>0.05</v>
      </c>
      <c r="C13" s="6">
        <v>1.0002053511859501</v>
      </c>
      <c r="F13" s="16">
        <v>1.25</v>
      </c>
      <c r="G13" s="18" t="e">
        <f ca="1">interpola(F13,$B$8:$C$52,1)</f>
        <v>#NAME?</v>
      </c>
      <c r="I13" s="22" t="e">
        <f ca="1">(G12/G13-1)/deltat</f>
        <v>#NAME?</v>
      </c>
    </row>
    <row r="14" spans="2:13">
      <c r="B14" s="5">
        <v>6.9444444444444489E-2</v>
      </c>
      <c r="C14" s="6">
        <v>1.0002217481617</v>
      </c>
      <c r="F14" s="16">
        <v>1.5</v>
      </c>
      <c r="G14" s="18" t="e">
        <f ca="1">interpola(F14,$B$8:$C$52,1)</f>
        <v>#NAME?</v>
      </c>
      <c r="I14" s="22" t="e">
        <f ca="1">(G13/G14-1)/deltat</f>
        <v>#NAME?</v>
      </c>
      <c r="K14" s="17" t="s">
        <v>10</v>
      </c>
      <c r="L14" s="9" t="e">
        <f ca="1">deltat*SUM(G13:G48)</f>
        <v>#NAME?</v>
      </c>
    </row>
    <row r="15" spans="2:13">
      <c r="B15" s="5">
        <v>9.7222222222222196E-2</v>
      </c>
      <c r="C15" s="6">
        <v>1.0003747437768098</v>
      </c>
      <c r="F15" s="16">
        <v>1.75</v>
      </c>
      <c r="G15" s="18" t="e">
        <f ca="1">interpola(F15,$B$8:$C$52,1)</f>
        <v>#NAME?</v>
      </c>
      <c r="I15" s="22" t="e">
        <f ca="1">(G14/G15-1)/deltat</f>
        <v>#NAME?</v>
      </c>
      <c r="K15" s="17" t="s">
        <v>11</v>
      </c>
      <c r="L15" s="10" t="e">
        <f ca="1">deltat*SUMPRODUCT(G13:G48,I13:I48)</f>
        <v>#NAME?</v>
      </c>
      <c r="M15" s="24" t="e">
        <f ca="1">G12-G48</f>
        <v>#NAME?</v>
      </c>
    </row>
    <row r="16" spans="2:13">
      <c r="B16" s="5">
        <v>0.18333333333333302</v>
      </c>
      <c r="C16" s="6">
        <v>1.0006658062551599</v>
      </c>
      <c r="F16" s="16">
        <v>2</v>
      </c>
      <c r="G16" s="18" t="e">
        <f ca="1">interpola(F16,$B$8:$C$52,1)</f>
        <v>#NAME?</v>
      </c>
      <c r="I16" s="22" t="e">
        <f ca="1">(G15/G16-1)/deltat</f>
        <v>#NAME?</v>
      </c>
      <c r="K16" s="17" t="s">
        <v>12</v>
      </c>
      <c r="L16" s="11" t="e">
        <f ca="1">L15/L14</f>
        <v>#NAME?</v>
      </c>
    </row>
    <row r="17" spans="2:24">
      <c r="B17" s="5">
        <v>0.266666666666667</v>
      </c>
      <c r="C17" s="6">
        <v>1.00097722503556</v>
      </c>
      <c r="F17" s="16">
        <v>2.25</v>
      </c>
      <c r="G17" s="18" t="e">
        <f ca="1">interpola(F17,$B$8:$C$52,1)</f>
        <v>#NAME?</v>
      </c>
      <c r="I17" s="22" t="e">
        <f ca="1">(G16/G17-1)/deltat</f>
        <v>#NAME?</v>
      </c>
      <c r="T17" s="9"/>
      <c r="W17" s="9"/>
    </row>
    <row r="18" spans="2:24">
      <c r="B18" s="5">
        <v>0.358333333333333</v>
      </c>
      <c r="C18" s="6">
        <v>1.00131231433226</v>
      </c>
      <c r="F18" s="16">
        <v>2.5</v>
      </c>
      <c r="G18" s="18" t="e">
        <f ca="1">interpola(F18,$B$8:$C$52,1)</f>
        <v>#NAME?</v>
      </c>
      <c r="I18" s="22" t="e">
        <f ca="1">(G17/G18-1)/deltat</f>
        <v>#NAME?</v>
      </c>
      <c r="T18" s="10"/>
      <c r="U18" s="12"/>
      <c r="W18" s="10"/>
    </row>
    <row r="19" spans="2:24">
      <c r="B19" s="5">
        <v>0.43611111111111101</v>
      </c>
      <c r="C19" s="6">
        <v>1.0015978692440499</v>
      </c>
      <c r="F19" s="16">
        <v>2.75</v>
      </c>
      <c r="G19" s="18" t="e">
        <f ca="1">interpola(F19,$B$8:$C$52,1)</f>
        <v>#NAME?</v>
      </c>
      <c r="I19" s="22" t="e">
        <f ca="1">(G18/G19-1)/deltat</f>
        <v>#NAME?</v>
      </c>
      <c r="T19" s="10"/>
      <c r="W19" s="10"/>
      <c r="X19" s="10"/>
    </row>
    <row r="20" spans="2:24">
      <c r="B20" s="5">
        <v>0.52222222222222192</v>
      </c>
      <c r="C20" s="6">
        <v>1.0019227707306699</v>
      </c>
      <c r="F20" s="16">
        <v>3</v>
      </c>
      <c r="G20" s="18" t="e">
        <f ca="1">interpola(F20,$B$8:$C$52,1)</f>
        <v>#NAME?</v>
      </c>
      <c r="I20" s="22" t="e">
        <f ca="1">(G19/G20-1)/deltat</f>
        <v>#NAME?</v>
      </c>
    </row>
    <row r="21" spans="2:24">
      <c r="B21" s="5">
        <v>0.61111111111111094</v>
      </c>
      <c r="C21" s="6">
        <v>1.0022604517599398</v>
      </c>
      <c r="F21" s="16">
        <v>3.25</v>
      </c>
      <c r="G21" s="18" t="e">
        <f ca="1">interpola(F21,$B$8:$C$52,1)</f>
        <v>#NAME?</v>
      </c>
      <c r="I21" s="22" t="e">
        <f ca="1">(G20/G21-1)/deltat</f>
        <v>#NAME?</v>
      </c>
    </row>
    <row r="22" spans="2:24">
      <c r="B22" s="5">
        <v>0.69166666666666698</v>
      </c>
      <c r="C22" s="6">
        <v>1.0025730000681299</v>
      </c>
      <c r="F22" s="16">
        <v>3.5</v>
      </c>
      <c r="G22" s="18" t="e">
        <f ca="1">interpola(F22,$B$8:$C$52,1)</f>
        <v>#NAME?</v>
      </c>
      <c r="I22" s="22" t="e">
        <f ca="1">(G21/G22-1)/deltat</f>
        <v>#NAME?</v>
      </c>
    </row>
    <row r="23" spans="2:24">
      <c r="B23" s="5">
        <v>0.77777777777777801</v>
      </c>
      <c r="C23" s="6">
        <v>1.00290978861778</v>
      </c>
      <c r="F23" s="16">
        <v>3.75</v>
      </c>
      <c r="G23" s="18" t="e">
        <f ca="1">interpola(F23,$B$8:$C$52,1)</f>
        <v>#NAME?</v>
      </c>
      <c r="I23" s="22" t="e">
        <f ca="1">(G22/G23-1)/deltat</f>
        <v>#NAME?</v>
      </c>
    </row>
    <row r="24" spans="2:24">
      <c r="B24" s="5">
        <v>0.86388888888888893</v>
      </c>
      <c r="C24" s="6">
        <v>1.0032464004775998</v>
      </c>
      <c r="F24" s="16">
        <v>4</v>
      </c>
      <c r="G24" s="18" t="e">
        <f ca="1">interpola(F24,$B$8:$C$52,1)</f>
        <v>#NAME?</v>
      </c>
      <c r="I24" s="22" t="e">
        <f ca="1">(G23/G24-1)/deltat</f>
        <v>#NAME?</v>
      </c>
    </row>
    <row r="25" spans="2:24">
      <c r="B25" s="5">
        <v>0.94444444444444398</v>
      </c>
      <c r="C25" s="6">
        <v>1.00356029405766</v>
      </c>
      <c r="F25" s="16">
        <v>4.25</v>
      </c>
      <c r="G25" s="18" t="e">
        <f ca="1">interpola(F25,$B$8:$C$52,1)</f>
        <v>#NAME?</v>
      </c>
      <c r="I25" s="22" t="e">
        <f ca="1">(G24/G25-1)/deltat</f>
        <v>#NAME?</v>
      </c>
    </row>
    <row r="26" spans="2:24">
      <c r="B26" s="5">
        <v>1.0277777777777799</v>
      </c>
      <c r="C26" s="6">
        <v>1.0038622321542001</v>
      </c>
      <c r="F26" s="16">
        <v>4.5</v>
      </c>
      <c r="G26" s="18" t="e">
        <f ca="1">interpola(F26,$B$8:$C$52,1)</f>
        <v>#NAME?</v>
      </c>
      <c r="I26" s="22" t="e">
        <f ca="1">(G25/G26-1)/deltat</f>
        <v>#NAME?</v>
      </c>
    </row>
    <row r="27" spans="2:24">
      <c r="B27" s="5">
        <v>1.11666666666667</v>
      </c>
      <c r="C27" s="6">
        <v>1.0042173942056598</v>
      </c>
      <c r="F27" s="16">
        <v>4.75</v>
      </c>
      <c r="G27" s="18" t="e">
        <f ca="1">interpola(F27,$B$8:$C$52,1)</f>
        <v>#NAME?</v>
      </c>
      <c r="I27" s="22" t="e">
        <f ca="1">(G26/G27-1)/deltat</f>
        <v>#NAME?</v>
      </c>
    </row>
    <row r="28" spans="2:24">
      <c r="B28" s="5">
        <v>1.19722222222222</v>
      </c>
      <c r="C28" s="6">
        <v>1.00449981275864</v>
      </c>
      <c r="F28" s="16">
        <v>5</v>
      </c>
      <c r="G28" s="18" t="e">
        <f ca="1">interpola(F28,$B$8:$C$52,1)</f>
        <v>#NAME?</v>
      </c>
      <c r="I28" s="22" t="e">
        <f ca="1">(G27/G28-1)/deltat</f>
        <v>#NAME?</v>
      </c>
    </row>
    <row r="29" spans="2:24">
      <c r="B29" s="5">
        <v>1.2833333333333299</v>
      </c>
      <c r="C29" s="6">
        <v>1.00484267604637</v>
      </c>
      <c r="F29" s="16">
        <v>5.25</v>
      </c>
      <c r="G29" s="18" t="e">
        <f ca="1">interpola(F29,$B$8:$C$52,1)</f>
        <v>#NAME?</v>
      </c>
      <c r="I29" s="22" t="e">
        <f ca="1">(G28/G29-1)/deltat</f>
        <v>#NAME?</v>
      </c>
    </row>
    <row r="30" spans="2:24">
      <c r="B30" s="5">
        <v>1.3694444444444398</v>
      </c>
      <c r="C30" s="6">
        <v>1.0051308837467199</v>
      </c>
      <c r="F30" s="16">
        <v>5.5</v>
      </c>
      <c r="G30" s="18" t="e">
        <f ca="1">interpola(F30,$B$8:$C$52,1)</f>
        <v>#NAME?</v>
      </c>
      <c r="I30" s="22" t="e">
        <f ca="1">(G29/G30-1)/deltat</f>
        <v>#NAME?</v>
      </c>
    </row>
    <row r="31" spans="2:24">
      <c r="B31" s="5">
        <v>1.4527777777777799</v>
      </c>
      <c r="C31" s="6">
        <v>1.0054240892807598</v>
      </c>
      <c r="F31" s="16">
        <v>5.75</v>
      </c>
      <c r="G31" s="18" t="e">
        <f ca="1">interpola(F31,$B$8:$C$52,1)</f>
        <v>#NAME?</v>
      </c>
      <c r="I31" s="22" t="e">
        <f ca="1">(G30/G31-1)/deltat</f>
        <v>#NAME?</v>
      </c>
    </row>
    <row r="32" spans="2:24">
      <c r="B32" s="5">
        <v>1.5444444444444398</v>
      </c>
      <c r="C32" s="6">
        <v>1.0057296453328599</v>
      </c>
      <c r="F32" s="16">
        <v>6</v>
      </c>
      <c r="G32" s="18" t="e">
        <f ca="1">interpola(F32,$B$8:$C$52,1)</f>
        <v>#NAME?</v>
      </c>
      <c r="I32" s="22" t="e">
        <f ca="1">(G31/G32-1)/deltat</f>
        <v>#NAME?</v>
      </c>
    </row>
    <row r="33" spans="2:9">
      <c r="B33" s="5">
        <v>1.6222222222222198</v>
      </c>
      <c r="C33" s="6">
        <v>1.00602924371726</v>
      </c>
      <c r="F33" s="16">
        <v>6.25</v>
      </c>
      <c r="G33" s="18" t="e">
        <f ca="1">interpola(F33,$B$8:$C$52,1)</f>
        <v>#NAME?</v>
      </c>
      <c r="I33" s="22" t="e">
        <f ca="1">(G32/G33-1)/deltat</f>
        <v>#NAME?</v>
      </c>
    </row>
    <row r="34" spans="2:9">
      <c r="B34" s="5">
        <v>1.7083333333333299</v>
      </c>
      <c r="C34" s="6">
        <v>1.0063321351877601</v>
      </c>
      <c r="F34" s="16">
        <v>6.5</v>
      </c>
      <c r="G34" s="18" t="e">
        <f ca="1">interpola(F34,$B$8:$C$52,1)</f>
        <v>#NAME?</v>
      </c>
      <c r="I34" s="22" t="e">
        <f ca="1">(G33/G34-1)/deltat</f>
        <v>#NAME?</v>
      </c>
    </row>
    <row r="35" spans="2:9">
      <c r="B35" s="5">
        <v>1.7972222222222198</v>
      </c>
      <c r="C35" s="6">
        <v>1.0066324130695499</v>
      </c>
      <c r="F35" s="16">
        <v>6.75</v>
      </c>
      <c r="G35" s="18" t="e">
        <f ca="1">interpola(F35,$B$8:$C$52,1)</f>
        <v>#NAME?</v>
      </c>
      <c r="I35" s="22" t="e">
        <f ca="1">(G34/G35-1)/deltat</f>
        <v>#NAME?</v>
      </c>
    </row>
    <row r="36" spans="2:9">
      <c r="B36" s="5">
        <v>1.875</v>
      </c>
      <c r="C36" s="6">
        <v>1.00689443100266</v>
      </c>
      <c r="F36" s="16">
        <v>7</v>
      </c>
      <c r="G36" s="18" t="e">
        <f ca="1">interpola(F36,$B$8:$C$52,1)</f>
        <v>#NAME?</v>
      </c>
      <c r="I36" s="22" t="e">
        <f ca="1">(G35/G36-1)/deltat</f>
        <v>#NAME?</v>
      </c>
    </row>
    <row r="37" spans="2:9">
      <c r="B37" s="5">
        <v>1.9583333333333299</v>
      </c>
      <c r="C37" s="6">
        <v>1.00716129820671</v>
      </c>
      <c r="F37" s="16">
        <v>7.25</v>
      </c>
      <c r="G37" s="18" t="e">
        <f ca="1">interpola(F37,$B$8:$C$52,1)</f>
        <v>#NAME?</v>
      </c>
      <c r="I37" s="22" t="e">
        <f ca="1">(G36/G37-1)/deltat</f>
        <v>#NAME?</v>
      </c>
    </row>
    <row r="38" spans="2:9">
      <c r="B38" s="5">
        <v>2.0416666666666701</v>
      </c>
      <c r="C38" s="6">
        <v>1.0073640439460398</v>
      </c>
      <c r="F38" s="16">
        <v>7.5</v>
      </c>
      <c r="G38" s="18" t="e">
        <f ca="1">interpola(F38,$B$8:$C$52,1)</f>
        <v>#NAME?</v>
      </c>
      <c r="I38" s="22" t="e">
        <f ca="1">(G37/G38-1)/deltat</f>
        <v>#NAME?</v>
      </c>
    </row>
    <row r="39" spans="2:9">
      <c r="B39" s="5">
        <v>3.06111111111111</v>
      </c>
      <c r="C39" s="6">
        <v>1.0095833063393098</v>
      </c>
      <c r="F39" s="16">
        <v>7.75</v>
      </c>
      <c r="G39" s="18" t="e">
        <f ca="1">interpola(F39,$B$8:$C$52,1)</f>
        <v>#NAME?</v>
      </c>
      <c r="I39" s="22" t="e">
        <f ca="1">(G38/G39-1)/deltat</f>
        <v>#NAME?</v>
      </c>
    </row>
    <row r="40" spans="2:9">
      <c r="B40" s="5">
        <v>4.0722222222222202</v>
      </c>
      <c r="C40" s="6">
        <v>1.01018446881792</v>
      </c>
      <c r="F40" s="16">
        <v>8</v>
      </c>
      <c r="G40" s="18" t="e">
        <f ca="1">interpola(F40,$B$8:$C$52,1)</f>
        <v>#NAME?</v>
      </c>
      <c r="I40" s="22" t="e">
        <f ca="1">(G39/G40-1)/deltat</f>
        <v>#NAME?</v>
      </c>
    </row>
    <row r="41" spans="2:9">
      <c r="B41" s="5">
        <v>5.0861111111111095</v>
      </c>
      <c r="C41" s="6">
        <v>1.0085838094824899</v>
      </c>
      <c r="F41" s="16">
        <v>8.25</v>
      </c>
      <c r="G41" s="18" t="e">
        <f ca="1">interpola(F41,$B$8:$C$52,1)</f>
        <v>#NAME?</v>
      </c>
      <c r="I41" s="22" t="e">
        <f ca="1">(G40/G41-1)/deltat</f>
        <v>#NAME?</v>
      </c>
    </row>
    <row r="42" spans="2:9">
      <c r="B42" s="5">
        <v>6.1000000000000005</v>
      </c>
      <c r="C42" s="6">
        <v>1.00487433165575</v>
      </c>
      <c r="F42" s="16">
        <v>8.5</v>
      </c>
      <c r="G42" s="18" t="e">
        <f ca="1">interpola(F42,$B$8:$C$52,1)</f>
        <v>#NAME?</v>
      </c>
      <c r="I42" s="22" t="e">
        <f ca="1">(G41/G42-1)/deltat</f>
        <v>#NAME?</v>
      </c>
    </row>
    <row r="43" spans="2:9">
      <c r="B43" s="5">
        <v>7.1138888888888889</v>
      </c>
      <c r="C43" s="6">
        <v>0.99881063014257698</v>
      </c>
      <c r="F43" s="16">
        <v>8.75</v>
      </c>
      <c r="G43" s="18" t="e">
        <f ca="1">interpola(F43,$B$8:$C$52,1)</f>
        <v>#NAME?</v>
      </c>
      <c r="I43" s="22" t="e">
        <f ca="1">(G42/G43-1)/deltat</f>
        <v>#NAME?</v>
      </c>
    </row>
    <row r="44" spans="2:9">
      <c r="B44" s="5">
        <v>8.12777777777778</v>
      </c>
      <c r="C44" s="6">
        <v>0.99077289116309797</v>
      </c>
      <c r="F44" s="16">
        <v>9</v>
      </c>
      <c r="G44" s="18" t="e">
        <f ca="1">interpola(F44,$B$8:$C$52,1)</f>
        <v>#NAME?</v>
      </c>
      <c r="I44" s="22" t="e">
        <f ca="1">(G43/G44-1)/deltat</f>
        <v>#NAME?</v>
      </c>
    </row>
    <row r="45" spans="2:9">
      <c r="B45" s="5">
        <v>9.1472222222222186</v>
      </c>
      <c r="C45" s="6">
        <v>0.98126548398384006</v>
      </c>
      <c r="F45" s="16">
        <v>9.25</v>
      </c>
      <c r="G45" s="18" t="e">
        <f ca="1">interpola(F45,$B$8:$C$52,1)</f>
        <v>#NAME?</v>
      </c>
      <c r="I45" s="22" t="e">
        <f ca="1">(G44/G45-1)/deltat</f>
        <v>#NAME?</v>
      </c>
    </row>
    <row r="46" spans="2:9">
      <c r="B46" s="5">
        <v>10.158333333333299</v>
      </c>
      <c r="C46" s="6">
        <v>0.96961473376852003</v>
      </c>
      <c r="F46" s="16">
        <v>9.5</v>
      </c>
      <c r="G46" s="18" t="e">
        <f ca="1">interpola(F46,$B$8:$C$52,1)</f>
        <v>#NAME?</v>
      </c>
      <c r="I46" s="22" t="e">
        <f ca="1">(G45/G46-1)/deltat</f>
        <v>#NAME?</v>
      </c>
    </row>
    <row r="47" spans="2:9">
      <c r="B47" s="5">
        <v>11.172222222222199</v>
      </c>
      <c r="C47" s="6">
        <v>0.95726669967219402</v>
      </c>
      <c r="F47" s="16">
        <v>9.75</v>
      </c>
      <c r="G47" s="18" t="e">
        <f ca="1">interpola(F47,$B$8:$C$52,1)</f>
        <v>#NAME?</v>
      </c>
      <c r="I47" s="22" t="e">
        <f ca="1">(G46/G47-1)/deltat</f>
        <v>#NAME?</v>
      </c>
    </row>
    <row r="48" spans="2:9" ht="15.75" thickBot="1">
      <c r="B48" s="5">
        <v>12.186111111111098</v>
      </c>
      <c r="C48" s="6">
        <v>0.94411337147492702</v>
      </c>
      <c r="F48" s="16">
        <v>10</v>
      </c>
      <c r="G48" s="18" t="e">
        <f ca="1">interpola(F48,$B$8:$C$52,1)</f>
        <v>#NAME?</v>
      </c>
      <c r="I48" s="23" t="e">
        <f ca="1">(G47/G48-1)/deltat</f>
        <v>#NAME?</v>
      </c>
    </row>
    <row r="49" spans="2:3">
      <c r="B49" s="5">
        <v>15.233333333333301</v>
      </c>
      <c r="C49" s="6">
        <v>0.903411175120583</v>
      </c>
    </row>
    <row r="50" spans="2:3">
      <c r="B50" s="5">
        <v>20.308333333333298</v>
      </c>
      <c r="C50" s="6">
        <v>0.83922187497739009</v>
      </c>
    </row>
    <row r="51" spans="2:3">
      <c r="B51" s="5">
        <v>25.383333333333301</v>
      </c>
      <c r="C51" s="6">
        <v>0.78818025339035702</v>
      </c>
    </row>
    <row r="52" spans="2:3" ht="15.75" thickBot="1">
      <c r="B52" s="7">
        <v>30.45</v>
      </c>
      <c r="C52" s="8">
        <v>0.74646648293197204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DEA8A4DB778B3419131F5B8502F05DF" ma:contentTypeVersion="2" ma:contentTypeDescription="Crear nuevo documento." ma:contentTypeScope="" ma:versionID="7b4f0182f536e05cbb366c375c7a8337">
  <xsd:schema xmlns:xsd="http://www.w3.org/2001/XMLSchema" xmlns:xs="http://www.w3.org/2001/XMLSchema" xmlns:p="http://schemas.microsoft.com/office/2006/metadata/properties" xmlns:ns2="c647e1cb-5d7a-4f25-a364-0969958c4296" targetNamespace="http://schemas.microsoft.com/office/2006/metadata/properties" ma:root="true" ma:fieldsID="6f1e891beffc474efd459d350cf088a7" ns2:_="">
    <xsd:import namespace="c647e1cb-5d7a-4f25-a364-0969958c429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47e1cb-5d7a-4f25-a364-0969958c429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31F783B-700E-445C-A086-FF6B288F8D89}"/>
</file>

<file path=customXml/itemProps2.xml><?xml version="1.0" encoding="utf-8"?>
<ds:datastoreItem xmlns:ds="http://schemas.openxmlformats.org/officeDocument/2006/customXml" ds:itemID="{3C3FB947-DED1-41EA-876F-3208824669A5}"/>
</file>

<file path=customXml/itemProps3.xml><?xml version="1.0" encoding="utf-8"?>
<ds:datastoreItem xmlns:ds="http://schemas.openxmlformats.org/officeDocument/2006/customXml" ds:itemID="{79720166-76BA-4C06-8121-2D6A79EE163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Analistas Financieros Internacionales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cp:keywords/>
  <dc:description/>
  <cp:lastModifiedBy>Maria Sarnago Laplaza</cp:lastModifiedBy>
  <cp:revision/>
  <dcterms:created xsi:type="dcterms:W3CDTF">2019-05-16T11:32:29Z</dcterms:created>
  <dcterms:modified xsi:type="dcterms:W3CDTF">2021-03-13T11:25:35Z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0x010100BDEA8A4DB778B3419131F5B8502F05DF</vt:lpwstr>
  </property>
</Properties>
</file>